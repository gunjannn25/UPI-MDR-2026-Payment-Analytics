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40" yWindow="60" windowWidth="20115" windowHeight="8010"/>
  </bookViews>
  <sheets>
    <sheet name="KPI Summary" sheetId="6" r:id="rId1"/>
    <sheet name="MDR Rule Analysis" sheetId="5" r:id="rId2"/>
    <sheet name="Category Analysis" sheetId="4" r:id="rId3"/>
    <sheet name="Daily Trend" sheetId="3" r:id="rId4"/>
    <sheet name="Data Governance" sheetId="2" r:id="rId5"/>
    <sheet name="Source" sheetId="1" r:id="rId6"/>
    <sheet name="Dashboard" sheetId="7" r:id="rId7"/>
  </sheets>
  <calcPr calcId="144525"/>
</workbook>
</file>

<file path=xl/sharedStrings.xml><?xml version="1.0" encoding="utf-8"?>
<sst xmlns="http://schemas.openxmlformats.org/spreadsheetml/2006/main" count="123" uniqueCount="96">
  <si>
    <t>KPI</t>
  </si>
  <si>
    <t>Value</t>
  </si>
  <si>
    <t>Total Transactions</t>
  </si>
  <si>
    <t>P2M Transactions</t>
  </si>
  <si>
    <t>P2P Transactions</t>
  </si>
  <si>
    <t>P2M Transaction Value</t>
  </si>
  <si>
    <t>P2M Volume Share</t>
  </si>
  <si>
    <t>P2M Transactions &gt; ₹2,000</t>
  </si>
  <si>
    <t>Total Estimated MDR</t>
  </si>
  <si>
    <t>transaction_count</t>
  </si>
  <si>
    <t>transaction_value</t>
  </si>
  <si>
    <t>estimated_mdr</t>
  </si>
  <si>
    <t>Control</t>
  </si>
  <si>
    <t>Rule</t>
  </si>
  <si>
    <t>Result</t>
  </si>
  <si>
    <t>Status</t>
  </si>
  <si>
    <t>Completeness</t>
  </si>
  <si>
    <t>P2M merchant ID required</t>
  </si>
  <si>
    <t>0 missing</t>
  </si>
  <si>
    <t>PASS</t>
  </si>
  <si>
    <t>P2M MCC required</t>
  </si>
  <si>
    <t>Uniqueness</t>
  </si>
  <si>
    <t>Transaction ID unique</t>
  </si>
  <si>
    <t>0 duplicates</t>
  </si>
  <si>
    <t>Validity</t>
  </si>
  <si>
    <t>Transaction amount &gt; 0</t>
  </si>
  <si>
    <t>0 invalid</t>
  </si>
  <si>
    <t>Lineage</t>
  </si>
  <si>
    <t>Policy version tracked</t>
  </si>
  <si>
    <t>MDR_2026</t>
  </si>
  <si>
    <t>Source Classification</t>
  </si>
  <si>
    <t>Transaction data identified as synthetic</t>
  </si>
  <si>
    <t>Synthetic_Calibrated</t>
  </si>
  <si>
    <t>Transaction-level data is synthetic and calibrated using documented UPI policy and ecosystem assumptions. It is not actual NPCI, bank, American Express, or Mastercard transaction data.</t>
  </si>
  <si>
    <t>Standard P2M - 0.4%</t>
  </si>
  <si>
    <t>Small Merchant - No MDR</t>
  </si>
  <si>
    <t>P2P - No MDR</t>
  </si>
  <si>
    <t>P2M &lt;= 2000 - No MDR</t>
  </si>
  <si>
    <t>Essential Sector - Flat 5</t>
  </si>
  <si>
    <t>Capital Market - 0.02%</t>
  </si>
  <si>
    <t>MDR Rule Applied</t>
  </si>
  <si>
    <t>Transaction Count</t>
  </si>
  <si>
    <t>Transaction Value</t>
  </si>
  <si>
    <t>Estimated MDR</t>
  </si>
  <si>
    <t>Merchant Category</t>
  </si>
  <si>
    <t>MDR Share</t>
  </si>
  <si>
    <t>Grocery</t>
  </si>
  <si>
    <t>Other Retail</t>
  </si>
  <si>
    <t>Restaurant</t>
  </si>
  <si>
    <t>Electronics</t>
  </si>
  <si>
    <t>Department Stores</t>
  </si>
  <si>
    <t>Fast Food</t>
  </si>
  <si>
    <t>Fuel</t>
  </si>
  <si>
    <t>Telecom</t>
  </si>
  <si>
    <t>Railways</t>
  </si>
  <si>
    <t>Capital Markets</t>
  </si>
  <si>
    <t>UPI MDR 2026 — Payment Economics &amp; Data Governance Analytics</t>
  </si>
  <si>
    <t>Synthetic calibrated transaction analysis | Policy effective 15-Oct-2026</t>
  </si>
  <si>
    <t>₹534.11M</t>
  </si>
  <si>
    <t>KPI section</t>
  </si>
  <si>
    <t>Source ID</t>
  </si>
  <si>
    <t>Source</t>
  </si>
  <si>
    <t>Type</t>
  </si>
  <si>
    <t>Used For</t>
  </si>
  <si>
    <t>SRC001</t>
  </si>
  <si>
    <t>Ministry of Finance / PIB — UPI MDR 2026 announcement</t>
  </si>
  <si>
    <t>Primary</t>
  </si>
  <si>
    <t>MDR policy rules</t>
  </si>
  <si>
    <t>SRC003</t>
  </si>
  <si>
    <t>NPCI — UPI Product Statistics</t>
  </si>
  <si>
    <t>UPI ecosystem baseline</t>
  </si>
  <si>
    <t>SRC005</t>
  </si>
  <si>
    <t>American Express annual filing</t>
  </si>
  <si>
    <t>Payment economics context</t>
  </si>
  <si>
    <t>SRC006</t>
  </si>
  <si>
    <t>Mastercard annual filing</t>
  </si>
  <si>
    <t>Card-network economics context</t>
  </si>
  <si>
    <t>Assumption</t>
  </si>
  <si>
    <t>Classification</t>
  </si>
  <si>
    <t>P2M volume share</t>
  </si>
  <si>
    <t>Calibrated assumption</t>
  </si>
  <si>
    <t>P2P volume share</t>
  </si>
  <si>
    <t>Derived</t>
  </si>
  <si>
    <t>P2M transactions ≤ ₹500</t>
  </si>
  <si>
    <t>Reported/calibration assumption</t>
  </si>
  <si>
    <t>P2M transactions ₹501–₹2,000</t>
  </si>
  <si>
    <t>P2M transactions &gt; ₹2,000</t>
  </si>
  <si>
    <t>P2M value &gt; ₹2,000</t>
  </si>
  <si>
    <t>Standard MDR</t>
  </si>
  <si>
    <t>Policy</t>
  </si>
  <si>
    <t>MDR cap</t>
  </si>
  <si>
    <t>MDR threshold</t>
  </si>
  <si>
    <t>Small-merchant monthly threshold</t>
  </si>
  <si>
    <r>
      <t>Policy Effective Date:</t>
    </r>
    <r>
      <rPr>
        <sz val="11"/>
        <color theme="1"/>
        <rFont val="Calibri"/>
        <family val="2"/>
      </rPr>
      <t xml:space="preserve"> 15 October 2026</t>
    </r>
  </si>
  <si>
    <t>transaction_date</t>
  </si>
  <si>
    <t>Dataset Classification - Transaction-level data is synthetic and generated using Python. It is calibrated using documented UPI policy and ecosystem assumptions and does not represent actual NPCI, bank, American Express, or Mastercard transaction records.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</si>
</sst>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 #,##0;[Red]&quot;₹&quot;\ \-#,##0"/>
    <numFmt numFmtId="8" formatCode="&quot;₹&quot;\ #,##0.00;[Red]&quot;₹&quot;\ \-#,##0.00"/>
  </numFmts>
  <fonts count="5" x14ac:knownFonts="1">
    <font>
      <sz val="11"/>
      <color theme="1"/>
      <name val="Calibri"/>
      <family val="2"/>
    </font>
    <font>
      <b/>
      <sz val="11"/>
      <color theme="1"/>
      <name val="Calibri"/>
      <family val="2"/>
    </font>
    <font>
      <b/>
      <sz val="13.5"/>
      <color theme="1"/>
      <name val="Calibri"/>
      <family val="2"/>
    </font>
    <font>
      <b/>
      <sz val="10"/>
      <color theme="1"/>
      <name val="Calibri"/>
      <family val="2"/>
    </font>
    <font>
      <b/>
      <i/>
      <u/>
      <sz val="11"/>
      <color theme="1"/>
      <name val="Calibri"/>
      <family val="2"/>
    </font>
  </fonts>
  <fills count="5">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left" vertical="center" indent="1"/>
    </xf>
    <xf numFmtId="0" fontId="1" fillId="0" borderId="0" xfId="0" applyFont="1"/>
    <xf numFmtId="0" fontId="0" fillId="0" borderId="0" xfId="0" applyAlignment="1">
      <alignment horizontal="left" vertical="top"/>
    </xf>
    <xf numFmtId="0" fontId="0" fillId="0" borderId="0" xfId="0" applyAlignment="1">
      <alignment horizontal="left"/>
    </xf>
    <xf numFmtId="0" fontId="2" fillId="0" borderId="0" xfId="0" applyFont="1" applyAlignment="1">
      <alignment horizontal="left" vertical="center"/>
    </xf>
    <xf numFmtId="0" fontId="1" fillId="2" borderId="1" xfId="0" applyFont="1" applyFill="1" applyBorder="1"/>
    <xf numFmtId="0" fontId="0" fillId="0" borderId="1" xfId="0" applyBorder="1"/>
    <xf numFmtId="10" fontId="0" fillId="0" borderId="1" xfId="0" applyNumberFormat="1" applyBorder="1"/>
    <xf numFmtId="0" fontId="0" fillId="0" borderId="1" xfId="0" applyBorder="1" applyAlignment="1">
      <alignment vertical="center" wrapText="1"/>
    </xf>
    <xf numFmtId="0" fontId="0" fillId="0" borderId="1" xfId="0" applyBorder="1" applyAlignment="1">
      <alignment horizontal="left" vertical="top" wrapText="1"/>
    </xf>
    <xf numFmtId="0" fontId="0" fillId="2" borderId="1" xfId="0" applyFill="1" applyBorder="1" applyAlignment="1">
      <alignment horizontal="left" vertical="top"/>
    </xf>
    <xf numFmtId="0" fontId="1" fillId="2" borderId="1" xfId="0" applyFont="1" applyFill="1" applyBorder="1" applyAlignment="1">
      <alignment horizontal="left" vertical="top"/>
    </xf>
    <xf numFmtId="14" fontId="0" fillId="0" borderId="1" xfId="0" applyNumberFormat="1" applyBorder="1" applyAlignment="1">
      <alignment vertical="center" wrapText="1"/>
    </xf>
    <xf numFmtId="0" fontId="3"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1" fillId="0" borderId="1" xfId="0" applyFont="1" applyBorder="1" applyAlignment="1">
      <alignment wrapText="1"/>
    </xf>
    <xf numFmtId="9" fontId="0" fillId="0" borderId="1" xfId="0" applyNumberFormat="1" applyBorder="1" applyAlignment="1">
      <alignment horizontal="left" vertical="top" wrapText="1"/>
    </xf>
    <xf numFmtId="10" fontId="0" fillId="0" borderId="1" xfId="0" applyNumberFormat="1" applyBorder="1" applyAlignment="1">
      <alignment horizontal="left" vertical="top" wrapText="1"/>
    </xf>
    <xf numFmtId="6" fontId="0" fillId="0" borderId="1" xfId="0" applyNumberFormat="1" applyBorder="1" applyAlignment="1">
      <alignment horizontal="left" vertical="top" wrapText="1"/>
    </xf>
    <xf numFmtId="0" fontId="1" fillId="2" borderId="1" xfId="0" applyFont="1" applyFill="1" applyBorder="1" applyAlignment="1">
      <alignment horizontal="left" vertical="top" wrapText="1"/>
    </xf>
    <xf numFmtId="0" fontId="4" fillId="3" borderId="0" xfId="0" applyFont="1" applyFill="1" applyAlignment="1">
      <alignment horizontal="left" vertical="top"/>
    </xf>
    <xf numFmtId="0" fontId="4" fillId="3" borderId="0" xfId="0" applyFont="1" applyFill="1" applyAlignment="1">
      <alignment horizontal="left"/>
    </xf>
    <xf numFmtId="0" fontId="4" fillId="3" borderId="0" xfId="0" applyFont="1" applyFill="1"/>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3" fontId="0" fillId="4" borderId="1" xfId="0" applyNumberFormat="1" applyFill="1" applyBorder="1" applyAlignment="1">
      <alignment horizontal="left" vertical="center" wrapText="1"/>
    </xf>
    <xf numFmtId="10" fontId="0" fillId="4" borderId="1" xfId="0" applyNumberFormat="1" applyFill="1" applyBorder="1" applyAlignment="1">
      <alignment horizontal="left" vertical="center" wrapText="1"/>
    </xf>
    <xf numFmtId="8" fontId="0" fillId="4" borderId="1" xfId="0" applyNumberForma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'MDR Rule Analysis'!$D$1</c:f>
              <c:strCache>
                <c:ptCount val="1"/>
                <c:pt idx="0">
                  <c:v>Estimated MDR</c:v>
                </c:pt>
              </c:strCache>
            </c:strRef>
          </c:tx>
          <c:invertIfNegative val="0"/>
          <c:cat>
            <c:strRef>
              <c:f>'MDR Rule Analysis'!$A$2:$A$7</c:f>
              <c:strCache>
                <c:ptCount val="6"/>
                <c:pt idx="0">
                  <c:v>Standard P2M - 0.4%</c:v>
                </c:pt>
                <c:pt idx="1">
                  <c:v>Small Merchant - No MDR</c:v>
                </c:pt>
                <c:pt idx="2">
                  <c:v>P2P - No MDR</c:v>
                </c:pt>
                <c:pt idx="3">
                  <c:v>P2M &lt;= 2000 - No MDR</c:v>
                </c:pt>
                <c:pt idx="4">
                  <c:v>Essential Sector - Flat 5</c:v>
                </c:pt>
                <c:pt idx="5">
                  <c:v>Capital Market - 0.02%</c:v>
                </c:pt>
              </c:strCache>
            </c:strRef>
          </c:cat>
          <c:val>
            <c:numRef>
              <c:f>'MDR Rule Analysis'!$D$2:$D$7</c:f>
              <c:numCache>
                <c:formatCode>General</c:formatCode>
                <c:ptCount val="6"/>
                <c:pt idx="0">
                  <c:v>39850.400000000001</c:v>
                </c:pt>
                <c:pt idx="1">
                  <c:v>0</c:v>
                </c:pt>
                <c:pt idx="2">
                  <c:v>0</c:v>
                </c:pt>
                <c:pt idx="3">
                  <c:v>0</c:v>
                </c:pt>
                <c:pt idx="4">
                  <c:v>1100</c:v>
                </c:pt>
                <c:pt idx="5">
                  <c:v>84.48</c:v>
                </c:pt>
              </c:numCache>
            </c:numRef>
          </c:val>
        </c:ser>
        <c:dLbls>
          <c:showLegendKey val="0"/>
          <c:showVal val="0"/>
          <c:showCatName val="0"/>
          <c:showSerName val="0"/>
          <c:showPercent val="0"/>
          <c:showBubbleSize val="0"/>
        </c:dLbls>
        <c:gapWidth val="150"/>
        <c:axId val="201347840"/>
        <c:axId val="201349376"/>
      </c:barChart>
      <c:catAx>
        <c:axId val="201347840"/>
        <c:scaling>
          <c:orientation val="minMax"/>
        </c:scaling>
        <c:delete val="0"/>
        <c:axPos val="l"/>
        <c:majorTickMark val="out"/>
        <c:minorTickMark val="none"/>
        <c:tickLblPos val="nextTo"/>
        <c:crossAx val="201349376"/>
        <c:crosses val="autoZero"/>
        <c:auto val="1"/>
        <c:lblAlgn val="ctr"/>
        <c:lblOffset val="100"/>
        <c:noMultiLvlLbl val="0"/>
      </c:catAx>
      <c:valAx>
        <c:axId val="201349376"/>
        <c:scaling>
          <c:orientation val="minMax"/>
        </c:scaling>
        <c:delete val="0"/>
        <c:axPos val="b"/>
        <c:majorGridlines/>
        <c:numFmt formatCode="General" sourceLinked="1"/>
        <c:majorTickMark val="out"/>
        <c:minorTickMark val="none"/>
        <c:tickLblPos val="nextTo"/>
        <c:crossAx val="2013478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Daily</a:t>
            </a:r>
            <a:r>
              <a:rPr lang="en-IN" baseline="0"/>
              <a:t> Estimated MDR - October 2026</a:t>
            </a:r>
          </a:p>
          <a:p>
            <a:pPr>
              <a:defRPr/>
            </a:pPr>
            <a:endParaRPr lang="en-IN"/>
          </a:p>
        </c:rich>
      </c:tx>
      <c:overlay val="0"/>
    </c:title>
    <c:autoTitleDeleted val="0"/>
    <c:plotArea>
      <c:layout/>
      <c:lineChart>
        <c:grouping val="standard"/>
        <c:varyColors val="0"/>
        <c:ser>
          <c:idx val="0"/>
          <c:order val="0"/>
          <c:tx>
            <c:strRef>
              <c:f>'Daily Trend'!$D$1</c:f>
              <c:strCache>
                <c:ptCount val="1"/>
                <c:pt idx="0">
                  <c:v>estimated_mdr</c:v>
                </c:pt>
              </c:strCache>
            </c:strRef>
          </c:tx>
          <c:marker>
            <c:symbol val="none"/>
          </c:marker>
          <c:cat>
            <c:numRef>
              <c:f>'Daily Trend'!$A$2:$A$18</c:f>
              <c:numCache>
                <c:formatCode>m/d/yyyy</c:formatCode>
                <c:ptCount val="17"/>
                <c:pt idx="0">
                  <c:v>46310</c:v>
                </c:pt>
                <c:pt idx="1">
                  <c:v>46311</c:v>
                </c:pt>
                <c:pt idx="2">
                  <c:v>46312</c:v>
                </c:pt>
                <c:pt idx="3">
                  <c:v>46313</c:v>
                </c:pt>
                <c:pt idx="4">
                  <c:v>46314</c:v>
                </c:pt>
                <c:pt idx="5">
                  <c:v>46315</c:v>
                </c:pt>
                <c:pt idx="6">
                  <c:v>46316</c:v>
                </c:pt>
                <c:pt idx="7">
                  <c:v>46317</c:v>
                </c:pt>
                <c:pt idx="8">
                  <c:v>46318</c:v>
                </c:pt>
                <c:pt idx="9">
                  <c:v>46319</c:v>
                </c:pt>
                <c:pt idx="10">
                  <c:v>46320</c:v>
                </c:pt>
                <c:pt idx="11">
                  <c:v>46321</c:v>
                </c:pt>
                <c:pt idx="12">
                  <c:v>46322</c:v>
                </c:pt>
                <c:pt idx="13">
                  <c:v>46323</c:v>
                </c:pt>
                <c:pt idx="14">
                  <c:v>46324</c:v>
                </c:pt>
                <c:pt idx="15">
                  <c:v>46325</c:v>
                </c:pt>
                <c:pt idx="16">
                  <c:v>46326</c:v>
                </c:pt>
              </c:numCache>
            </c:numRef>
          </c:cat>
          <c:val>
            <c:numRef>
              <c:f>'Daily Trend'!$D$2:$D$18</c:f>
              <c:numCache>
                <c:formatCode>General</c:formatCode>
                <c:ptCount val="17"/>
                <c:pt idx="0">
                  <c:v>2544.15</c:v>
                </c:pt>
                <c:pt idx="1">
                  <c:v>3065.24</c:v>
                </c:pt>
                <c:pt idx="2">
                  <c:v>2290.89</c:v>
                </c:pt>
                <c:pt idx="3">
                  <c:v>1709.31</c:v>
                </c:pt>
                <c:pt idx="4">
                  <c:v>2381.85</c:v>
                </c:pt>
                <c:pt idx="5">
                  <c:v>1744.48</c:v>
                </c:pt>
                <c:pt idx="6">
                  <c:v>2982.73</c:v>
                </c:pt>
                <c:pt idx="7">
                  <c:v>2193.06</c:v>
                </c:pt>
                <c:pt idx="8">
                  <c:v>2875.96</c:v>
                </c:pt>
                <c:pt idx="9">
                  <c:v>2131.42</c:v>
                </c:pt>
                <c:pt idx="10">
                  <c:v>1979.46</c:v>
                </c:pt>
                <c:pt idx="11">
                  <c:v>2593.37</c:v>
                </c:pt>
                <c:pt idx="12">
                  <c:v>1955.51</c:v>
                </c:pt>
                <c:pt idx="13">
                  <c:v>2138.75</c:v>
                </c:pt>
                <c:pt idx="14">
                  <c:v>2325.65</c:v>
                </c:pt>
                <c:pt idx="15">
                  <c:v>1925.99</c:v>
                </c:pt>
                <c:pt idx="16">
                  <c:v>2379.02</c:v>
                </c:pt>
              </c:numCache>
            </c:numRef>
          </c:val>
          <c:smooth val="0"/>
        </c:ser>
        <c:dLbls>
          <c:showLegendKey val="0"/>
          <c:showVal val="0"/>
          <c:showCatName val="0"/>
          <c:showSerName val="0"/>
          <c:showPercent val="0"/>
          <c:showBubbleSize val="0"/>
        </c:dLbls>
        <c:marker val="1"/>
        <c:smooth val="0"/>
        <c:axId val="201689728"/>
        <c:axId val="201712000"/>
      </c:lineChart>
      <c:dateAx>
        <c:axId val="201689728"/>
        <c:scaling>
          <c:orientation val="minMax"/>
        </c:scaling>
        <c:delete val="0"/>
        <c:axPos val="b"/>
        <c:numFmt formatCode="m/d/yyyy" sourceLinked="1"/>
        <c:majorTickMark val="out"/>
        <c:minorTickMark val="none"/>
        <c:tickLblPos val="nextTo"/>
        <c:crossAx val="201712000"/>
        <c:crosses val="autoZero"/>
        <c:auto val="1"/>
        <c:lblOffset val="100"/>
        <c:baseTimeUnit val="days"/>
      </c:dateAx>
      <c:valAx>
        <c:axId val="201712000"/>
        <c:scaling>
          <c:orientation val="minMax"/>
        </c:scaling>
        <c:delete val="0"/>
        <c:axPos val="l"/>
        <c:majorGridlines/>
        <c:numFmt formatCode="General" sourceLinked="1"/>
        <c:majorTickMark val="out"/>
        <c:minorTickMark val="none"/>
        <c:tickLblPos val="nextTo"/>
        <c:crossAx val="20168972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034951881014872"/>
          <c:y val="0.11605419592821166"/>
          <c:w val="0.70995691163604546"/>
          <c:h val="0.73942938213804354"/>
        </c:manualLayout>
      </c:layout>
      <c:barChart>
        <c:barDir val="col"/>
        <c:grouping val="clustered"/>
        <c:varyColors val="0"/>
        <c:ser>
          <c:idx val="0"/>
          <c:order val="0"/>
          <c:invertIfNegative val="0"/>
          <c:cat>
            <c:strRef>
              <c:f>'KPI Summary'!$A$3:$A$4</c:f>
              <c:strCache>
                <c:ptCount val="2"/>
                <c:pt idx="0">
                  <c:v>P2M Transactions</c:v>
                </c:pt>
                <c:pt idx="1">
                  <c:v>P2P Transactions</c:v>
                </c:pt>
              </c:strCache>
            </c:strRef>
          </c:cat>
          <c:val>
            <c:numRef>
              <c:f>'KPI Summary'!$B$3:$B$4</c:f>
              <c:numCache>
                <c:formatCode>General</c:formatCode>
                <c:ptCount val="2"/>
                <c:pt idx="0">
                  <c:v>63252</c:v>
                </c:pt>
                <c:pt idx="1">
                  <c:v>36748</c:v>
                </c:pt>
              </c:numCache>
            </c:numRef>
          </c:val>
        </c:ser>
        <c:dLbls>
          <c:showLegendKey val="0"/>
          <c:showVal val="0"/>
          <c:showCatName val="0"/>
          <c:showSerName val="0"/>
          <c:showPercent val="0"/>
          <c:showBubbleSize val="0"/>
        </c:dLbls>
        <c:gapWidth val="150"/>
        <c:axId val="200991872"/>
        <c:axId val="200993408"/>
      </c:barChart>
      <c:catAx>
        <c:axId val="200991872"/>
        <c:scaling>
          <c:orientation val="minMax"/>
        </c:scaling>
        <c:delete val="0"/>
        <c:axPos val="b"/>
        <c:majorTickMark val="out"/>
        <c:minorTickMark val="none"/>
        <c:tickLblPos val="nextTo"/>
        <c:crossAx val="200993408"/>
        <c:crosses val="autoZero"/>
        <c:auto val="1"/>
        <c:lblAlgn val="ctr"/>
        <c:lblOffset val="100"/>
        <c:noMultiLvlLbl val="0"/>
      </c:catAx>
      <c:valAx>
        <c:axId val="200993408"/>
        <c:scaling>
          <c:orientation val="minMax"/>
        </c:scaling>
        <c:delete val="0"/>
        <c:axPos val="l"/>
        <c:majorGridlines/>
        <c:numFmt formatCode="General" sourceLinked="1"/>
        <c:majorTickMark val="out"/>
        <c:minorTickMark val="none"/>
        <c:tickLblPos val="nextTo"/>
        <c:crossAx val="2009918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bar"/>
        <c:grouping val="clustered"/>
        <c:varyColors val="0"/>
        <c:ser>
          <c:idx val="0"/>
          <c:order val="0"/>
          <c:tx>
            <c:strRef>
              <c:f>'MDR Rule Analysis'!$D$1</c:f>
              <c:strCache>
                <c:ptCount val="1"/>
                <c:pt idx="0">
                  <c:v>Estimated MDR</c:v>
                </c:pt>
              </c:strCache>
            </c:strRef>
          </c:tx>
          <c:invertIfNegative val="0"/>
          <c:cat>
            <c:strRef>
              <c:f>'MDR Rule Analysis'!$A$2:$A$7</c:f>
              <c:strCache>
                <c:ptCount val="6"/>
                <c:pt idx="0">
                  <c:v>Standard P2M - 0.4%</c:v>
                </c:pt>
                <c:pt idx="1">
                  <c:v>Small Merchant - No MDR</c:v>
                </c:pt>
                <c:pt idx="2">
                  <c:v>P2P - No MDR</c:v>
                </c:pt>
                <c:pt idx="3">
                  <c:v>P2M &lt;= 2000 - No MDR</c:v>
                </c:pt>
                <c:pt idx="4">
                  <c:v>Essential Sector - Flat 5</c:v>
                </c:pt>
                <c:pt idx="5">
                  <c:v>Capital Market - 0.02%</c:v>
                </c:pt>
              </c:strCache>
            </c:strRef>
          </c:cat>
          <c:val>
            <c:numRef>
              <c:f>'MDR Rule Analysis'!$D$2:$D$7</c:f>
              <c:numCache>
                <c:formatCode>General</c:formatCode>
                <c:ptCount val="6"/>
                <c:pt idx="0">
                  <c:v>39850.400000000001</c:v>
                </c:pt>
                <c:pt idx="1">
                  <c:v>0</c:v>
                </c:pt>
                <c:pt idx="2">
                  <c:v>0</c:v>
                </c:pt>
                <c:pt idx="3">
                  <c:v>0</c:v>
                </c:pt>
                <c:pt idx="4">
                  <c:v>1100</c:v>
                </c:pt>
                <c:pt idx="5">
                  <c:v>84.48</c:v>
                </c:pt>
              </c:numCache>
            </c:numRef>
          </c:val>
        </c:ser>
        <c:dLbls>
          <c:showLegendKey val="0"/>
          <c:showVal val="0"/>
          <c:showCatName val="0"/>
          <c:showSerName val="0"/>
          <c:showPercent val="0"/>
          <c:showBubbleSize val="0"/>
        </c:dLbls>
        <c:gapWidth val="150"/>
        <c:axId val="201763072"/>
        <c:axId val="201768960"/>
      </c:barChart>
      <c:catAx>
        <c:axId val="201763072"/>
        <c:scaling>
          <c:orientation val="minMax"/>
        </c:scaling>
        <c:delete val="0"/>
        <c:axPos val="l"/>
        <c:majorTickMark val="out"/>
        <c:minorTickMark val="none"/>
        <c:tickLblPos val="nextTo"/>
        <c:crossAx val="201768960"/>
        <c:crosses val="autoZero"/>
        <c:auto val="1"/>
        <c:lblAlgn val="ctr"/>
        <c:lblOffset val="100"/>
        <c:noMultiLvlLbl val="0"/>
      </c:catAx>
      <c:valAx>
        <c:axId val="201768960"/>
        <c:scaling>
          <c:orientation val="minMax"/>
        </c:scaling>
        <c:delete val="0"/>
        <c:axPos val="b"/>
        <c:majorGridlines/>
        <c:numFmt formatCode="General" sourceLinked="1"/>
        <c:majorTickMark val="out"/>
        <c:minorTickMark val="none"/>
        <c:tickLblPos val="nextTo"/>
        <c:crossAx val="20176307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Daily</a:t>
            </a:r>
            <a:r>
              <a:rPr lang="en-IN" baseline="0"/>
              <a:t> Estimated MDR - October 2026</a:t>
            </a:r>
          </a:p>
          <a:p>
            <a:pPr>
              <a:defRPr/>
            </a:pPr>
            <a:endParaRPr lang="en-IN"/>
          </a:p>
        </c:rich>
      </c:tx>
      <c:layout>
        <c:manualLayout>
          <c:xMode val="edge"/>
          <c:yMode val="edge"/>
          <c:x val="7.5655969140221102E-2"/>
          <c:y val="2.7777777777777776E-2"/>
        </c:manualLayout>
      </c:layout>
      <c:overlay val="0"/>
    </c:title>
    <c:autoTitleDeleted val="0"/>
    <c:plotArea>
      <c:layout/>
      <c:lineChart>
        <c:grouping val="standard"/>
        <c:varyColors val="0"/>
        <c:ser>
          <c:idx val="0"/>
          <c:order val="0"/>
          <c:tx>
            <c:strRef>
              <c:f>'Daily Trend'!$D$1</c:f>
              <c:strCache>
                <c:ptCount val="1"/>
                <c:pt idx="0">
                  <c:v>estimated_mdr</c:v>
                </c:pt>
              </c:strCache>
            </c:strRef>
          </c:tx>
          <c:marker>
            <c:symbol val="none"/>
          </c:marker>
          <c:cat>
            <c:numRef>
              <c:f>'Daily Trend'!$A$2:$A$18</c:f>
              <c:numCache>
                <c:formatCode>m/d/yyyy</c:formatCode>
                <c:ptCount val="17"/>
                <c:pt idx="0">
                  <c:v>46310</c:v>
                </c:pt>
                <c:pt idx="1">
                  <c:v>46311</c:v>
                </c:pt>
                <c:pt idx="2">
                  <c:v>46312</c:v>
                </c:pt>
                <c:pt idx="3">
                  <c:v>46313</c:v>
                </c:pt>
                <c:pt idx="4">
                  <c:v>46314</c:v>
                </c:pt>
                <c:pt idx="5">
                  <c:v>46315</c:v>
                </c:pt>
                <c:pt idx="6">
                  <c:v>46316</c:v>
                </c:pt>
                <c:pt idx="7">
                  <c:v>46317</c:v>
                </c:pt>
                <c:pt idx="8">
                  <c:v>46318</c:v>
                </c:pt>
                <c:pt idx="9">
                  <c:v>46319</c:v>
                </c:pt>
                <c:pt idx="10">
                  <c:v>46320</c:v>
                </c:pt>
                <c:pt idx="11">
                  <c:v>46321</c:v>
                </c:pt>
                <c:pt idx="12">
                  <c:v>46322</c:v>
                </c:pt>
                <c:pt idx="13">
                  <c:v>46323</c:v>
                </c:pt>
                <c:pt idx="14">
                  <c:v>46324</c:v>
                </c:pt>
                <c:pt idx="15">
                  <c:v>46325</c:v>
                </c:pt>
                <c:pt idx="16">
                  <c:v>46326</c:v>
                </c:pt>
              </c:numCache>
            </c:numRef>
          </c:cat>
          <c:val>
            <c:numRef>
              <c:f>'Daily Trend'!$D$2:$D$18</c:f>
              <c:numCache>
                <c:formatCode>General</c:formatCode>
                <c:ptCount val="17"/>
                <c:pt idx="0">
                  <c:v>2544.15</c:v>
                </c:pt>
                <c:pt idx="1">
                  <c:v>3065.24</c:v>
                </c:pt>
                <c:pt idx="2">
                  <c:v>2290.89</c:v>
                </c:pt>
                <c:pt idx="3">
                  <c:v>1709.31</c:v>
                </c:pt>
                <c:pt idx="4">
                  <c:v>2381.85</c:v>
                </c:pt>
                <c:pt idx="5">
                  <c:v>1744.48</c:v>
                </c:pt>
                <c:pt idx="6">
                  <c:v>2982.73</c:v>
                </c:pt>
                <c:pt idx="7">
                  <c:v>2193.06</c:v>
                </c:pt>
                <c:pt idx="8">
                  <c:v>2875.96</c:v>
                </c:pt>
                <c:pt idx="9">
                  <c:v>2131.42</c:v>
                </c:pt>
                <c:pt idx="10">
                  <c:v>1979.46</c:v>
                </c:pt>
                <c:pt idx="11">
                  <c:v>2593.37</c:v>
                </c:pt>
                <c:pt idx="12">
                  <c:v>1955.51</c:v>
                </c:pt>
                <c:pt idx="13">
                  <c:v>2138.75</c:v>
                </c:pt>
                <c:pt idx="14">
                  <c:v>2325.65</c:v>
                </c:pt>
                <c:pt idx="15">
                  <c:v>1925.99</c:v>
                </c:pt>
                <c:pt idx="16">
                  <c:v>2379.02</c:v>
                </c:pt>
              </c:numCache>
            </c:numRef>
          </c:val>
          <c:smooth val="0"/>
        </c:ser>
        <c:dLbls>
          <c:showLegendKey val="0"/>
          <c:showVal val="0"/>
          <c:showCatName val="0"/>
          <c:showSerName val="0"/>
          <c:showPercent val="0"/>
          <c:showBubbleSize val="0"/>
        </c:dLbls>
        <c:marker val="1"/>
        <c:smooth val="0"/>
        <c:axId val="202069888"/>
        <c:axId val="202071424"/>
      </c:lineChart>
      <c:dateAx>
        <c:axId val="202069888"/>
        <c:scaling>
          <c:orientation val="minMax"/>
        </c:scaling>
        <c:delete val="0"/>
        <c:axPos val="b"/>
        <c:numFmt formatCode="m/d/yyyy" sourceLinked="1"/>
        <c:majorTickMark val="out"/>
        <c:minorTickMark val="none"/>
        <c:tickLblPos val="nextTo"/>
        <c:crossAx val="202071424"/>
        <c:crosses val="autoZero"/>
        <c:auto val="1"/>
        <c:lblOffset val="100"/>
        <c:baseTimeUnit val="days"/>
      </c:dateAx>
      <c:valAx>
        <c:axId val="202071424"/>
        <c:scaling>
          <c:orientation val="minMax"/>
        </c:scaling>
        <c:delete val="0"/>
        <c:axPos val="l"/>
        <c:majorGridlines/>
        <c:numFmt formatCode="General" sourceLinked="1"/>
        <c:majorTickMark val="out"/>
        <c:minorTickMark val="none"/>
        <c:tickLblPos val="nextTo"/>
        <c:crossAx val="2020698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33337</xdr:colOff>
      <xdr:row>2</xdr:row>
      <xdr:rowOff>752475</xdr:rowOff>
    </xdr:from>
    <xdr:to>
      <xdr:col>14</xdr:col>
      <xdr:colOff>338137</xdr:colOff>
      <xdr:row>10</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14287</xdr:colOff>
      <xdr:row>1</xdr:row>
      <xdr:rowOff>19050</xdr:rowOff>
    </xdr:from>
    <xdr:to>
      <xdr:col>13</xdr:col>
      <xdr:colOff>319087</xdr:colOff>
      <xdr:row>15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80962</xdr:colOff>
      <xdr:row>10</xdr:row>
      <xdr:rowOff>180975</xdr:rowOff>
    </xdr:from>
    <xdr:to>
      <xdr:col>5</xdr:col>
      <xdr:colOff>309562</xdr:colOff>
      <xdr:row>20</xdr:row>
      <xdr:rowOff>38100</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21</xdr:row>
      <xdr:rowOff>9525</xdr:rowOff>
    </xdr:from>
    <xdr:to>
      <xdr:col>5</xdr:col>
      <xdr:colOff>314325</xdr:colOff>
      <xdr:row>29</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29</xdr:row>
      <xdr:rowOff>180975</xdr:rowOff>
    </xdr:from>
    <xdr:to>
      <xdr:col>5</xdr:col>
      <xdr:colOff>323850</xdr:colOff>
      <xdr:row>44</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tabSelected="1" workbookViewId="0">
      <selection activeCell="N7" sqref="N7"/>
    </sheetView>
  </sheetViews>
  <sheetFormatPr defaultRowHeight="15" x14ac:dyDescent="0.25"/>
  <cols>
    <col min="1" max="1" width="24.28515625" bestFit="1" customWidth="1"/>
    <col min="2" max="2" width="12" bestFit="1" customWidth="1"/>
  </cols>
  <sheetData>
    <row r="1" spans="1:2" x14ac:dyDescent="0.25">
      <c r="A1" s="6" t="s">
        <v>0</v>
      </c>
      <c r="B1" s="6" t="s">
        <v>1</v>
      </c>
    </row>
    <row r="2" spans="1:2" x14ac:dyDescent="0.25">
      <c r="A2" s="7" t="s">
        <v>2</v>
      </c>
      <c r="B2" s="7">
        <v>100000</v>
      </c>
    </row>
    <row r="3" spans="1:2" x14ac:dyDescent="0.25">
      <c r="A3" s="7" t="s">
        <v>3</v>
      </c>
      <c r="B3" s="7">
        <v>63252</v>
      </c>
    </row>
    <row r="4" spans="1:2" x14ac:dyDescent="0.25">
      <c r="A4" s="7" t="s">
        <v>4</v>
      </c>
      <c r="B4" s="7">
        <v>36748</v>
      </c>
    </row>
    <row r="5" spans="1:2" x14ac:dyDescent="0.25">
      <c r="A5" s="7" t="s">
        <v>5</v>
      </c>
      <c r="B5" s="7">
        <v>534112788.10000002</v>
      </c>
    </row>
    <row r="6" spans="1:2" x14ac:dyDescent="0.25">
      <c r="A6" s="7" t="s">
        <v>6</v>
      </c>
      <c r="B6" s="8">
        <v>0.63249999999999995</v>
      </c>
    </row>
    <row r="7" spans="1:2" x14ac:dyDescent="0.25">
      <c r="A7" s="7" t="s">
        <v>7</v>
      </c>
      <c r="B7" s="7">
        <v>2537</v>
      </c>
    </row>
    <row r="8" spans="1:2" x14ac:dyDescent="0.25">
      <c r="A8" s="7" t="s">
        <v>8</v>
      </c>
      <c r="B8" s="7">
        <v>41034.870000000003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election activeCell="E9" sqref="E9"/>
    </sheetView>
  </sheetViews>
  <sheetFormatPr defaultRowHeight="15" x14ac:dyDescent="0.25"/>
  <cols>
    <col min="1" max="1" width="21.28515625" customWidth="1"/>
    <col min="2" max="2" width="18.28515625" customWidth="1"/>
    <col min="3" max="3" width="19.5703125" customWidth="1"/>
    <col min="4" max="4" width="17.140625" customWidth="1"/>
  </cols>
  <sheetData>
    <row r="1" spans="1:4" x14ac:dyDescent="0.25">
      <c r="A1" s="11" t="s">
        <v>40</v>
      </c>
      <c r="B1" s="11" t="s">
        <v>41</v>
      </c>
      <c r="C1" s="11" t="s">
        <v>42</v>
      </c>
      <c r="D1" s="11" t="s">
        <v>43</v>
      </c>
    </row>
    <row r="2" spans="1:4" x14ac:dyDescent="0.25">
      <c r="A2" s="10" t="s">
        <v>34</v>
      </c>
      <c r="B2" s="10">
        <v>880</v>
      </c>
      <c r="C2" s="10">
        <v>10155156.550000001</v>
      </c>
      <c r="D2" s="10">
        <v>39850.400000000001</v>
      </c>
    </row>
    <row r="3" spans="1:4" ht="30" x14ac:dyDescent="0.25">
      <c r="A3" s="10" t="s">
        <v>35</v>
      </c>
      <c r="B3" s="10">
        <v>1400</v>
      </c>
      <c r="C3" s="10">
        <v>17586346.02</v>
      </c>
      <c r="D3" s="10">
        <v>0</v>
      </c>
    </row>
    <row r="4" spans="1:4" x14ac:dyDescent="0.25">
      <c r="A4" s="10" t="s">
        <v>36</v>
      </c>
      <c r="B4" s="10">
        <v>36748</v>
      </c>
      <c r="C4" s="10">
        <v>83229596.739999995</v>
      </c>
      <c r="D4" s="10">
        <v>0</v>
      </c>
    </row>
    <row r="5" spans="1:4" x14ac:dyDescent="0.25">
      <c r="A5" s="10" t="s">
        <v>37</v>
      </c>
      <c r="B5" s="10">
        <v>60715</v>
      </c>
      <c r="C5" s="10">
        <v>22865717.469999999</v>
      </c>
      <c r="D5" s="10">
        <v>0</v>
      </c>
    </row>
    <row r="6" spans="1:4" ht="30" x14ac:dyDescent="0.25">
      <c r="A6" s="10" t="s">
        <v>38</v>
      </c>
      <c r="B6" s="10">
        <v>220</v>
      </c>
      <c r="C6" s="10">
        <v>2381691.1</v>
      </c>
      <c r="D6" s="10">
        <v>1100</v>
      </c>
    </row>
    <row r="7" spans="1:4" x14ac:dyDescent="0.25">
      <c r="A7" s="10" t="s">
        <v>39</v>
      </c>
      <c r="B7" s="10">
        <v>37</v>
      </c>
      <c r="C7" s="10">
        <v>422376.96000000002</v>
      </c>
      <c r="D7" s="10">
        <v>84.48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H9" sqref="H9"/>
    </sheetView>
  </sheetViews>
  <sheetFormatPr defaultRowHeight="15" x14ac:dyDescent="0.25"/>
  <cols>
    <col min="1" max="1" width="18" style="3" bestFit="1" customWidth="1"/>
    <col min="2" max="2" width="17" style="3" bestFit="1" customWidth="1"/>
    <col min="3" max="3" width="16.85546875" style="3" bestFit="1" customWidth="1"/>
    <col min="4" max="4" width="14.5703125" style="3" bestFit="1" customWidth="1"/>
    <col min="5" max="5" width="10.5703125" style="3" bestFit="1" customWidth="1"/>
    <col min="6" max="16384" width="9.140625" style="3"/>
  </cols>
  <sheetData>
    <row r="1" spans="1:5" x14ac:dyDescent="0.25">
      <c r="A1" s="12" t="s">
        <v>44</v>
      </c>
      <c r="B1" s="12" t="s">
        <v>41</v>
      </c>
      <c r="C1" s="12" t="s">
        <v>42</v>
      </c>
      <c r="D1" s="12" t="s">
        <v>43</v>
      </c>
      <c r="E1" s="12" t="s">
        <v>45</v>
      </c>
    </row>
    <row r="2" spans="1:5" x14ac:dyDescent="0.25">
      <c r="A2" s="10" t="s">
        <v>46</v>
      </c>
      <c r="B2" s="10">
        <v>13388</v>
      </c>
      <c r="C2" s="10">
        <v>11258432.35</v>
      </c>
      <c r="D2" s="10">
        <v>10604.95</v>
      </c>
      <c r="E2" s="10">
        <v>27.04</v>
      </c>
    </row>
    <row r="3" spans="1:5" x14ac:dyDescent="0.25">
      <c r="A3" s="10" t="s">
        <v>47</v>
      </c>
      <c r="B3" s="10">
        <v>10990</v>
      </c>
      <c r="C3" s="10">
        <v>9216945.3800000008</v>
      </c>
      <c r="D3" s="10">
        <v>8433.56</v>
      </c>
      <c r="E3" s="10">
        <v>21.5</v>
      </c>
    </row>
    <row r="4" spans="1:5" x14ac:dyDescent="0.25">
      <c r="A4" s="10" t="s">
        <v>48</v>
      </c>
      <c r="B4" s="10">
        <v>8388</v>
      </c>
      <c r="C4" s="10">
        <v>6798035.0999999996</v>
      </c>
      <c r="D4" s="10">
        <v>5844.73</v>
      </c>
      <c r="E4" s="10">
        <v>14.9</v>
      </c>
    </row>
    <row r="5" spans="1:5" x14ac:dyDescent="0.25">
      <c r="A5" s="10" t="s">
        <v>49</v>
      </c>
      <c r="B5" s="10">
        <v>4787</v>
      </c>
      <c r="C5" s="10">
        <v>4230138.07</v>
      </c>
      <c r="D5" s="10">
        <v>5146.2299999999996</v>
      </c>
      <c r="E5" s="10">
        <v>13.12</v>
      </c>
    </row>
    <row r="6" spans="1:5" x14ac:dyDescent="0.25">
      <c r="A6" s="10" t="s">
        <v>50</v>
      </c>
      <c r="B6" s="10">
        <v>6102</v>
      </c>
      <c r="C6" s="10">
        <v>5285759.33</v>
      </c>
      <c r="D6" s="10">
        <v>4106.55</v>
      </c>
      <c r="E6" s="10">
        <v>10.47</v>
      </c>
    </row>
    <row r="7" spans="1:5" x14ac:dyDescent="0.25">
      <c r="A7" s="10" t="s">
        <v>51</v>
      </c>
      <c r="B7" s="10">
        <v>4890</v>
      </c>
      <c r="C7" s="10">
        <v>4057848.93</v>
      </c>
      <c r="D7" s="10">
        <v>3920.29</v>
      </c>
      <c r="E7" s="10">
        <v>10</v>
      </c>
    </row>
    <row r="8" spans="1:5" x14ac:dyDescent="0.25">
      <c r="A8" s="10" t="s">
        <v>52</v>
      </c>
      <c r="B8" s="10">
        <v>4795</v>
      </c>
      <c r="C8" s="10">
        <v>3931340.58</v>
      </c>
      <c r="D8" s="10">
        <v>445</v>
      </c>
      <c r="E8" s="10">
        <v>1.1299999999999999</v>
      </c>
    </row>
    <row r="9" spans="1:5" x14ac:dyDescent="0.25">
      <c r="A9" s="10" t="s">
        <v>53</v>
      </c>
      <c r="B9" s="10">
        <v>3745</v>
      </c>
      <c r="C9" s="10">
        <v>3218603.59</v>
      </c>
      <c r="D9" s="10">
        <v>440</v>
      </c>
      <c r="E9" s="10">
        <v>1.1200000000000001</v>
      </c>
    </row>
    <row r="10" spans="1:5" x14ac:dyDescent="0.25">
      <c r="A10" s="10" t="s">
        <v>54</v>
      </c>
      <c r="B10" s="10">
        <v>1854</v>
      </c>
      <c r="C10" s="10">
        <v>1556834.11</v>
      </c>
      <c r="D10" s="10">
        <v>200</v>
      </c>
      <c r="E10" s="10">
        <v>0.51</v>
      </c>
    </row>
    <row r="11" spans="1:5" x14ac:dyDescent="0.25">
      <c r="A11" s="10" t="s">
        <v>55</v>
      </c>
      <c r="B11" s="10">
        <v>1793</v>
      </c>
      <c r="C11" s="10">
        <v>1424947.73</v>
      </c>
      <c r="D11" s="10">
        <v>75.53</v>
      </c>
      <c r="E11" s="10">
        <v>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Views>
    <sheetView workbookViewId="0">
      <selection activeCell="I18" sqref="I18"/>
    </sheetView>
  </sheetViews>
  <sheetFormatPr defaultRowHeight="15" x14ac:dyDescent="0.25"/>
  <cols>
    <col min="1" max="1" width="10.42578125" bestFit="1" customWidth="1"/>
  </cols>
  <sheetData>
    <row r="1" spans="1:4" ht="25.5" x14ac:dyDescent="0.25">
      <c r="A1" s="14" t="s">
        <v>94</v>
      </c>
      <c r="B1" s="14" t="s">
        <v>9</v>
      </c>
      <c r="C1" s="14" t="s">
        <v>10</v>
      </c>
      <c r="D1" s="14" t="s">
        <v>11</v>
      </c>
    </row>
    <row r="2" spans="1:4" x14ac:dyDescent="0.25">
      <c r="A2" s="13">
        <v>46310</v>
      </c>
      <c r="B2" s="9">
        <v>3558</v>
      </c>
      <c r="C2" s="9">
        <v>2838521.08</v>
      </c>
      <c r="D2" s="9">
        <v>2544.15</v>
      </c>
    </row>
    <row r="3" spans="1:4" x14ac:dyDescent="0.25">
      <c r="A3" s="13">
        <v>46311</v>
      </c>
      <c r="B3" s="9">
        <v>3577</v>
      </c>
      <c r="C3" s="9">
        <v>3290733.24</v>
      </c>
      <c r="D3" s="9">
        <v>3065.24</v>
      </c>
    </row>
    <row r="4" spans="1:4" x14ac:dyDescent="0.25">
      <c r="A4" s="13">
        <v>46312</v>
      </c>
      <c r="B4" s="9">
        <v>3574</v>
      </c>
      <c r="C4" s="9">
        <v>2841639.61</v>
      </c>
      <c r="D4" s="9">
        <v>2290.89</v>
      </c>
    </row>
    <row r="5" spans="1:4" x14ac:dyDescent="0.25">
      <c r="A5" s="13">
        <v>46313</v>
      </c>
      <c r="B5" s="9">
        <v>3613</v>
      </c>
      <c r="C5" s="9">
        <v>2896857.16</v>
      </c>
      <c r="D5" s="9">
        <v>1709.31</v>
      </c>
    </row>
    <row r="6" spans="1:4" x14ac:dyDescent="0.25">
      <c r="A6" s="13">
        <v>46314</v>
      </c>
      <c r="B6" s="9">
        <v>3571</v>
      </c>
      <c r="C6" s="9">
        <v>2748749.46</v>
      </c>
      <c r="D6" s="9">
        <v>2381.85</v>
      </c>
    </row>
    <row r="7" spans="1:4" x14ac:dyDescent="0.25">
      <c r="A7" s="13">
        <v>46315</v>
      </c>
      <c r="B7" s="9">
        <v>3523</v>
      </c>
      <c r="C7" s="9">
        <v>2811422.51</v>
      </c>
      <c r="D7" s="9">
        <v>1744.48</v>
      </c>
    </row>
    <row r="8" spans="1:4" x14ac:dyDescent="0.25">
      <c r="A8" s="13">
        <v>46316</v>
      </c>
      <c r="B8" s="9">
        <v>3509</v>
      </c>
      <c r="C8" s="9">
        <v>3078453.73</v>
      </c>
      <c r="D8" s="9">
        <v>2982.73</v>
      </c>
    </row>
    <row r="9" spans="1:4" x14ac:dyDescent="0.25">
      <c r="A9" s="13">
        <v>46317</v>
      </c>
      <c r="B9" s="9">
        <v>3649</v>
      </c>
      <c r="C9" s="9">
        <v>3002098.26</v>
      </c>
      <c r="D9" s="9">
        <v>2193.06</v>
      </c>
    </row>
    <row r="10" spans="1:4" x14ac:dyDescent="0.25">
      <c r="A10" s="13">
        <v>46318</v>
      </c>
      <c r="B10" s="9">
        <v>3527</v>
      </c>
      <c r="C10" s="9">
        <v>2852962.19</v>
      </c>
      <c r="D10" s="9">
        <v>2875.96</v>
      </c>
    </row>
    <row r="11" spans="1:4" x14ac:dyDescent="0.25">
      <c r="A11" s="13">
        <v>46319</v>
      </c>
      <c r="B11" s="9">
        <v>3548</v>
      </c>
      <c r="C11" s="9">
        <v>3096943.19</v>
      </c>
      <c r="D11" s="9">
        <v>2131.42</v>
      </c>
    </row>
    <row r="12" spans="1:4" x14ac:dyDescent="0.25">
      <c r="A12" s="13">
        <v>46320</v>
      </c>
      <c r="B12" s="9">
        <v>3586</v>
      </c>
      <c r="C12" s="9">
        <v>3183235.22</v>
      </c>
      <c r="D12" s="9">
        <v>1979.46</v>
      </c>
    </row>
    <row r="13" spans="1:4" x14ac:dyDescent="0.25">
      <c r="A13" s="13">
        <v>46321</v>
      </c>
      <c r="B13" s="9">
        <v>3555</v>
      </c>
      <c r="C13" s="9">
        <v>3465847.15</v>
      </c>
      <c r="D13" s="9">
        <v>2593.37</v>
      </c>
    </row>
    <row r="14" spans="1:4" x14ac:dyDescent="0.25">
      <c r="A14" s="13">
        <v>46322</v>
      </c>
      <c r="B14" s="9">
        <v>3499</v>
      </c>
      <c r="C14" s="9">
        <v>2635504.87</v>
      </c>
      <c r="D14" s="9">
        <v>1955.51</v>
      </c>
    </row>
    <row r="15" spans="1:4" x14ac:dyDescent="0.25">
      <c r="A15" s="13">
        <v>46323</v>
      </c>
      <c r="B15" s="9">
        <v>3703</v>
      </c>
      <c r="C15" s="9">
        <v>2918119.03</v>
      </c>
      <c r="D15" s="9">
        <v>2138.75</v>
      </c>
    </row>
    <row r="16" spans="1:4" x14ac:dyDescent="0.25">
      <c r="A16" s="13">
        <v>46324</v>
      </c>
      <c r="B16" s="9">
        <v>3613</v>
      </c>
      <c r="C16" s="9">
        <v>3279711.99</v>
      </c>
      <c r="D16" s="9">
        <v>2325.65</v>
      </c>
    </row>
    <row r="17" spans="1:4" x14ac:dyDescent="0.25">
      <c r="A17" s="13">
        <v>46325</v>
      </c>
      <c r="B17" s="9">
        <v>3523</v>
      </c>
      <c r="C17" s="9">
        <v>2948817.01</v>
      </c>
      <c r="D17" s="9">
        <v>1925.99</v>
      </c>
    </row>
    <row r="18" spans="1:4" x14ac:dyDescent="0.25">
      <c r="A18" s="13">
        <v>46326</v>
      </c>
      <c r="B18" s="9">
        <v>3604</v>
      </c>
      <c r="C18" s="9">
        <v>3089269.47</v>
      </c>
      <c r="D18" s="9">
        <v>2379.02</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H5" sqref="H5"/>
    </sheetView>
  </sheetViews>
  <sheetFormatPr defaultRowHeight="15" x14ac:dyDescent="0.25"/>
  <cols>
    <col min="1" max="4" width="25.42578125" customWidth="1"/>
  </cols>
  <sheetData>
    <row r="1" spans="1:4" x14ac:dyDescent="0.25">
      <c r="A1" s="15" t="s">
        <v>12</v>
      </c>
      <c r="B1" s="15" t="s">
        <v>13</v>
      </c>
      <c r="C1" s="15" t="s">
        <v>14</v>
      </c>
      <c r="D1" s="15" t="s">
        <v>15</v>
      </c>
    </row>
    <row r="2" spans="1:4" ht="60" x14ac:dyDescent="0.25">
      <c r="A2" s="16" t="s">
        <v>16</v>
      </c>
      <c r="B2" s="16" t="s">
        <v>17</v>
      </c>
      <c r="C2" s="16" t="s">
        <v>18</v>
      </c>
      <c r="D2" s="16" t="s">
        <v>19</v>
      </c>
    </row>
    <row r="3" spans="1:4" ht="45" x14ac:dyDescent="0.25">
      <c r="A3" s="9" t="s">
        <v>16</v>
      </c>
      <c r="B3" s="9" t="s">
        <v>20</v>
      </c>
      <c r="C3" s="9" t="s">
        <v>18</v>
      </c>
      <c r="D3" s="9" t="s">
        <v>19</v>
      </c>
    </row>
    <row r="4" spans="1:4" ht="45" x14ac:dyDescent="0.25">
      <c r="A4" s="9" t="s">
        <v>21</v>
      </c>
      <c r="B4" s="9" t="s">
        <v>22</v>
      </c>
      <c r="C4" s="9" t="s">
        <v>23</v>
      </c>
      <c r="D4" s="9" t="s">
        <v>19</v>
      </c>
    </row>
    <row r="5" spans="1:4" ht="60" x14ac:dyDescent="0.25">
      <c r="A5" s="9" t="s">
        <v>24</v>
      </c>
      <c r="B5" s="9" t="s">
        <v>25</v>
      </c>
      <c r="C5" s="9" t="s">
        <v>26</v>
      </c>
      <c r="D5" s="9" t="s">
        <v>19</v>
      </c>
    </row>
    <row r="6" spans="1:4" ht="45" x14ac:dyDescent="0.25">
      <c r="A6" s="9" t="s">
        <v>27</v>
      </c>
      <c r="B6" s="9" t="s">
        <v>28</v>
      </c>
      <c r="C6" s="9" t="s">
        <v>29</v>
      </c>
      <c r="D6" s="9" t="s">
        <v>19</v>
      </c>
    </row>
    <row r="7" spans="1:4" ht="75" x14ac:dyDescent="0.25">
      <c r="A7" s="9" t="s">
        <v>30</v>
      </c>
      <c r="B7" s="9" t="s">
        <v>31</v>
      </c>
      <c r="C7" s="9" t="s">
        <v>32</v>
      </c>
      <c r="D7" s="9" t="s">
        <v>19</v>
      </c>
    </row>
    <row r="9" spans="1:4" x14ac:dyDescent="0.25">
      <c r="A9" s="1" t="s">
        <v>33</v>
      </c>
    </row>
    <row r="11" spans="1:4" x14ac:dyDescent="0.25">
      <c r="A11"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7"/>
  <sheetViews>
    <sheetView topLeftCell="A10" workbookViewId="0">
      <selection activeCell="H5" sqref="H5"/>
    </sheetView>
  </sheetViews>
  <sheetFormatPr defaultRowHeight="15" x14ac:dyDescent="0.25"/>
  <cols>
    <col min="1" max="4" width="13" style="3" customWidth="1"/>
    <col min="5" max="6" width="7.85546875" customWidth="1"/>
    <col min="7" max="7" width="59.85546875" customWidth="1"/>
    <col min="8" max="13" width="7.85546875" customWidth="1"/>
  </cols>
  <sheetData>
    <row r="1" spans="1:7" x14ac:dyDescent="0.25">
      <c r="A1" s="21" t="s">
        <v>60</v>
      </c>
      <c r="B1" s="21" t="s">
        <v>61</v>
      </c>
      <c r="C1" s="21" t="s">
        <v>62</v>
      </c>
      <c r="D1" s="21" t="s">
        <v>63</v>
      </c>
    </row>
    <row r="2" spans="1:7" ht="90" x14ac:dyDescent="0.25">
      <c r="A2" s="10" t="s">
        <v>64</v>
      </c>
      <c r="B2" s="10" t="s">
        <v>65</v>
      </c>
      <c r="C2" s="10" t="s">
        <v>66</v>
      </c>
      <c r="D2" s="10" t="s">
        <v>67</v>
      </c>
      <c r="G2" s="17" t="s">
        <v>95</v>
      </c>
    </row>
    <row r="3" spans="1:7" ht="45" x14ac:dyDescent="0.25">
      <c r="A3" s="10" t="s">
        <v>68</v>
      </c>
      <c r="B3" s="10" t="s">
        <v>69</v>
      </c>
      <c r="C3" s="10" t="s">
        <v>66</v>
      </c>
      <c r="D3" s="10" t="s">
        <v>70</v>
      </c>
      <c r="G3" s="17" t="s">
        <v>93</v>
      </c>
    </row>
    <row r="4" spans="1:7" ht="45" x14ac:dyDescent="0.25">
      <c r="A4" s="10" t="s">
        <v>71</v>
      </c>
      <c r="B4" s="10" t="s">
        <v>72</v>
      </c>
      <c r="C4" s="10" t="s">
        <v>66</v>
      </c>
      <c r="D4" s="10" t="s">
        <v>73</v>
      </c>
    </row>
    <row r="5" spans="1:7" ht="60" x14ac:dyDescent="0.25">
      <c r="A5" s="10" t="s">
        <v>74</v>
      </c>
      <c r="B5" s="10" t="s">
        <v>75</v>
      </c>
      <c r="C5" s="10" t="s">
        <v>66</v>
      </c>
      <c r="D5" s="10" t="s">
        <v>76</v>
      </c>
    </row>
    <row r="7" spans="1:7" x14ac:dyDescent="0.25">
      <c r="A7" s="21" t="s">
        <v>77</v>
      </c>
      <c r="B7" s="21" t="s">
        <v>1</v>
      </c>
      <c r="C7" s="21" t="s">
        <v>78</v>
      </c>
    </row>
    <row r="8" spans="1:7" ht="30" x14ac:dyDescent="0.25">
      <c r="A8" s="10" t="s">
        <v>79</v>
      </c>
      <c r="B8" s="18">
        <v>0.63</v>
      </c>
      <c r="C8" s="10" t="s">
        <v>80</v>
      </c>
    </row>
    <row r="9" spans="1:7" ht="30" x14ac:dyDescent="0.25">
      <c r="A9" s="10" t="s">
        <v>81</v>
      </c>
      <c r="B9" s="18">
        <v>0.37</v>
      </c>
      <c r="C9" s="10" t="s">
        <v>82</v>
      </c>
    </row>
    <row r="10" spans="1:7" ht="45" x14ac:dyDescent="0.25">
      <c r="A10" s="10" t="s">
        <v>83</v>
      </c>
      <c r="B10" s="18">
        <v>0.86</v>
      </c>
      <c r="C10" s="10" t="s">
        <v>84</v>
      </c>
    </row>
    <row r="11" spans="1:7" ht="45" x14ac:dyDescent="0.25">
      <c r="A11" s="10" t="s">
        <v>85</v>
      </c>
      <c r="B11" s="18">
        <v>0.1</v>
      </c>
      <c r="C11" s="10" t="s">
        <v>84</v>
      </c>
    </row>
    <row r="12" spans="1:7" ht="45" x14ac:dyDescent="0.25">
      <c r="A12" s="10" t="s">
        <v>86</v>
      </c>
      <c r="B12" s="18">
        <v>0.04</v>
      </c>
      <c r="C12" s="10" t="s">
        <v>84</v>
      </c>
    </row>
    <row r="13" spans="1:7" ht="45" x14ac:dyDescent="0.25">
      <c r="A13" s="10" t="s">
        <v>87</v>
      </c>
      <c r="B13" s="18">
        <v>0.67</v>
      </c>
      <c r="C13" s="10" t="s">
        <v>84</v>
      </c>
    </row>
    <row r="14" spans="1:7" ht="30" x14ac:dyDescent="0.25">
      <c r="A14" s="10" t="s">
        <v>88</v>
      </c>
      <c r="B14" s="19">
        <v>4.0000000000000001E-3</v>
      </c>
      <c r="C14" s="10" t="s">
        <v>89</v>
      </c>
    </row>
    <row r="15" spans="1:7" x14ac:dyDescent="0.25">
      <c r="A15" s="10" t="s">
        <v>90</v>
      </c>
      <c r="B15" s="20">
        <v>300</v>
      </c>
      <c r="C15" s="10" t="s">
        <v>89</v>
      </c>
    </row>
    <row r="16" spans="1:7" ht="30" x14ac:dyDescent="0.25">
      <c r="A16" s="10" t="s">
        <v>91</v>
      </c>
      <c r="B16" s="20">
        <v>2000</v>
      </c>
      <c r="C16" s="10" t="s">
        <v>89</v>
      </c>
    </row>
    <row r="17" spans="1:3" ht="60" x14ac:dyDescent="0.25">
      <c r="A17" s="10" t="s">
        <v>92</v>
      </c>
      <c r="B17" s="20">
        <v>100000</v>
      </c>
      <c r="C17" s="10" t="s">
        <v>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topLeftCell="A8" workbookViewId="0">
      <selection activeCell="M21" sqref="M21"/>
    </sheetView>
  </sheetViews>
  <sheetFormatPr defaultRowHeight="15" x14ac:dyDescent="0.25"/>
  <cols>
    <col min="1" max="2" width="18.85546875" style="4" customWidth="1"/>
    <col min="4" max="4" width="16" customWidth="1"/>
  </cols>
  <sheetData>
    <row r="1" spans="1:4" x14ac:dyDescent="0.25">
      <c r="A1" s="22" t="s">
        <v>56</v>
      </c>
      <c r="B1" s="23"/>
      <c r="C1" s="24"/>
      <c r="D1" s="24"/>
    </row>
    <row r="2" spans="1:4" x14ac:dyDescent="0.25">
      <c r="A2" s="3"/>
    </row>
    <row r="3" spans="1:4" x14ac:dyDescent="0.25">
      <c r="A3" s="3" t="s">
        <v>57</v>
      </c>
    </row>
    <row r="4" spans="1:4" ht="18" x14ac:dyDescent="0.25">
      <c r="A4" s="5" t="s">
        <v>59</v>
      </c>
    </row>
    <row r="5" spans="1:4" x14ac:dyDescent="0.25">
      <c r="A5" s="25" t="s">
        <v>0</v>
      </c>
      <c r="B5" s="25" t="s">
        <v>1</v>
      </c>
    </row>
    <row r="6" spans="1:4" x14ac:dyDescent="0.25">
      <c r="A6" s="26" t="s">
        <v>2</v>
      </c>
      <c r="B6" s="27">
        <v>100000</v>
      </c>
    </row>
    <row r="7" spans="1:4" x14ac:dyDescent="0.25">
      <c r="A7" s="26" t="s">
        <v>3</v>
      </c>
      <c r="B7" s="27">
        <v>63252</v>
      </c>
    </row>
    <row r="8" spans="1:4" x14ac:dyDescent="0.25">
      <c r="A8" s="26" t="s">
        <v>6</v>
      </c>
      <c r="B8" s="28">
        <v>0.63249999999999995</v>
      </c>
    </row>
    <row r="9" spans="1:4" ht="30" x14ac:dyDescent="0.25">
      <c r="A9" s="26" t="s">
        <v>5</v>
      </c>
      <c r="B9" s="26" t="s">
        <v>58</v>
      </c>
    </row>
    <row r="10" spans="1:4" x14ac:dyDescent="0.25">
      <c r="A10" s="26" t="s">
        <v>43</v>
      </c>
      <c r="B10" s="29">
        <v>41034.870000000003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KPI Summary</vt:lpstr>
      <vt:lpstr>MDR Rule Analysis</vt:lpstr>
      <vt:lpstr>Category Analysis</vt:lpstr>
      <vt:lpstr>Daily Trend</vt:lpstr>
      <vt:lpstr>Data Governance</vt:lpstr>
      <vt:lpstr>Source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2026-09-18T19:56:18Z</dcterms:created>
  <dcterms:modified xsi:type="dcterms:W3CDTF">2026-09-19T17:44:44Z</dcterms:modified>
</cp:coreProperties>
</file>